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0" documentId="8_{79122957-8625-481B-8CF6-AADAF3B16530}" xr6:coauthVersionLast="47" xr6:coauthVersionMax="47" xr10:uidLastSave="{00000000-0000-0000-0000-000000000000}"/>
  <bookViews>
    <workbookView xWindow="240" yWindow="105" windowWidth="14805" windowHeight="8010" xr2:uid="{00000000-000D-0000-FFFF-FFFF00000000}"/>
  </bookViews>
  <sheets>
    <sheet name="Projects in flight" sheetId="1" r:id="rId1"/>
    <sheet name="PST projects" sheetId="2" r:id="rId2"/>
  </sheets>
  <definedNames>
    <definedName name="_xlnm._FilterDatabase" localSheetId="0" hidden="1">'Projects in flight'!$A$1:$L$1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<sst xmlns="http://schemas.openxmlformats.org/spreadsheetml/2006/main" count="321" uniqueCount="198">
  <si>
    <t>Priority</t>
  </si>
  <si>
    <t>Pathogen</t>
  </si>
  <si>
    <t>Project name</t>
  </si>
  <si>
    <t>Institution</t>
  </si>
  <si>
    <t>Lead</t>
  </si>
  <si>
    <t>Summary</t>
  </si>
  <si>
    <t>Status</t>
  </si>
  <si>
    <t>Links</t>
  </si>
  <si>
    <t>Geography</t>
  </si>
  <si>
    <t>Key populations</t>
  </si>
  <si>
    <t>Diseases</t>
  </si>
  <si>
    <t>Interventions</t>
  </si>
  <si>
    <t>Multiple</t>
  </si>
  <si>
    <t>Using STI testing to target HIV prevention</t>
  </si>
  <si>
    <t>IDM / WHI</t>
  </si>
  <si>
    <t>Adam Akullian</t>
  </si>
  <si>
    <t>Internal/high-priority HIVsim use case; relevant as a benchmark for reusable targeting workflows.</t>
  </si>
  <si>
    <t>Proposal</t>
  </si>
  <si>
    <t>Uganda</t>
  </si>
  <si>
    <t>FSW, partners</t>
  </si>
  <si>
    <t>HIV, STIs</t>
  </si>
  <si>
    <t>Partner notification, HIV prevention for people seeking STI care</t>
  </si>
  <si>
    <t>Syphilis</t>
  </si>
  <si>
    <t>Impact of syphilis diagnostics in Zimbabwe</t>
  </si>
  <si>
    <t>Robyn Stuart</t>
  </si>
  <si>
    <t>Demonstrating value proposition of WHI investments</t>
  </si>
  <si>
    <t>In flight, mostly complete</t>
  </si>
  <si>
    <t>https://github.com/starsimhub/syph_dx_zim</t>
  </si>
  <si>
    <t>Zimbabwe</t>
  </si>
  <si>
    <t>FSW</t>
  </si>
  <si>
    <t>HIV + syphilis</t>
  </si>
  <si>
    <t>NG, CT, TV</t>
  </si>
  <si>
    <t>ANC screening for asymptomatic STIs</t>
  </si>
  <si>
    <t>IDM + WHO</t>
  </si>
  <si>
    <t>Relevant adjacent workflow for WHO-linked users and for designing configurable screening use cases.</t>
  </si>
  <si>
    <t>In flight, early stages</t>
  </si>
  <si>
    <t>South Africa, Kenya, Nigeria, Ethiopia</t>
  </si>
  <si>
    <t>Pregnant women</t>
  </si>
  <si>
    <t>NG + CT + HIV (+BV?)</t>
  </si>
  <si>
    <t>ANC screening</t>
  </si>
  <si>
    <t>NG</t>
  </si>
  <si>
    <t>New drugs, DoxyPEP,  POC Diagnostics,  AMR</t>
  </si>
  <si>
    <t>Kirsten &amp; Emilia</t>
  </si>
  <si>
    <t>New antibiotic introduction ​, Impact of DoxyPEP on non-users , including AMR</t>
  </si>
  <si>
    <t>?</t>
  </si>
  <si>
    <t>Model evaluations</t>
  </si>
  <si>
    <t>Kirsten &amp; Yonatan</t>
  </si>
  <si>
    <t>model comparison to see how those modelling choices impact syphilis burden , effectiveness of  interventions​ understand how different assumptions around bridging are going to impact disease epidemiology</t>
  </si>
  <si>
    <t>HIV</t>
  </si>
  <si>
    <t>HIVsim Eswatini model validation</t>
  </si>
  <si>
    <t>IDM</t>
  </si>
  <si>
    <t>Core validation project; useful for hardening model setup, testing, and reproducibility.</t>
  </si>
  <si>
    <t>https://github.com/starsimhub/hivsim_eswatini</t>
  </si>
  <si>
    <t>Eswatini</t>
  </si>
  <si>
    <t>NYU</t>
  </si>
  <si>
    <t>Daniel Citron</t>
  </si>
  <si>
    <t>External validation collaboration</t>
  </si>
  <si>
    <t>https://github.com/starsimhub/hiv_zambia</t>
  </si>
  <si>
    <t>Zambia</t>
  </si>
  <si>
    <t>Modeling HIV and bacterial STIs in South Africa</t>
  </si>
  <si>
    <t>UNISA</t>
  </si>
  <si>
    <t>Gomo Moagi</t>
  </si>
  <si>
    <t>Applied multi-disease use case that can stress-test integrated workflows and documentation.</t>
  </si>
  <si>
    <t>South Africa</t>
  </si>
  <si>
    <t>HIV + NG</t>
  </si>
  <si>
    <t>HIV, NG</t>
  </si>
  <si>
    <t>HIV and Gonorrhea modeling</t>
  </si>
  <si>
    <t>Burnet</t>
  </si>
  <si>
    <t>Romesh Abeysuriya</t>
  </si>
  <si>
    <t>External collaboration for multi-pathogen workflows and generalized model usability. Less central to immediate software scale priorities.</t>
  </si>
  <si>
    <t>Various</t>
  </si>
  <si>
    <t>HIVsim Kenya model validation</t>
  </si>
  <si>
    <t>IDM / UW</t>
  </si>
  <si>
    <t>Monisha Sharma</t>
  </si>
  <si>
    <t>Important validation and onboarding use case with strong relevance for standardization.</t>
  </si>
  <si>
    <t>https://github.com/starsimhub/hiv_kenya</t>
  </si>
  <si>
    <t>Kenya</t>
  </si>
  <si>
    <t>Modeling PrEP delivery to MSM in Australia</t>
  </si>
  <si>
    <t>Kirby</t>
  </si>
  <si>
    <t>Richard Gray</t>
  </si>
  <si>
    <t>Useful specialized use case, though somewhat less central to immediate software scale priorities.</t>
  </si>
  <si>
    <t>Australia</t>
  </si>
  <si>
    <t>MSM</t>
  </si>
  <si>
    <t>PrEP modalities</t>
  </si>
  <si>
    <t>Impact of partner notification on NG transmission</t>
  </si>
  <si>
    <t>LSHTM</t>
  </si>
  <si>
    <t>Michael Marks</t>
  </si>
  <si>
    <t>Direct LSHTM alignment and strong software pilot candidate with clear applied value.</t>
  </si>
  <si>
    <t>Impact of partner notification on HIV transmission</t>
  </si>
  <si>
    <t>Nao Yamamoto</t>
  </si>
  <si>
    <t>Related external collaboration; useful for testing transferability of partner-notification workflows.</t>
  </si>
  <si>
    <t>Partners</t>
  </si>
  <si>
    <t>Partner notification, testing, PrEP</t>
  </si>
  <si>
    <t>NG, CT, TV, BV</t>
  </si>
  <si>
    <t>Y-Check STI adaptation</t>
  </si>
  <si>
    <t>Kate Nelson</t>
  </si>
  <si>
    <t>Strong near-term reuse case for existing Zimbabwe STI workflows; good test of onboarding and reproducibility.</t>
  </si>
  <si>
    <t>STIs + other</t>
  </si>
  <si>
    <t>HPV</t>
  </si>
  <si>
    <t>HPVsim country support</t>
  </si>
  <si>
    <t>Kaja Abbas + MoH Kazakhstan</t>
  </si>
  <si>
    <t>Good candidate for documentation-first support and modular workflows across multiple country teams.</t>
  </si>
  <si>
    <t>Kazakhstan</t>
  </si>
  <si>
    <t>Sexual violence + HPV modeling</t>
  </si>
  <si>
    <t>LSHTM / WHO-linked</t>
  </si>
  <si>
    <t>Naomi Miall</t>
  </si>
  <si>
    <t>Important extensibility use case; useful for understanding module design and support needs in fragile settings. Likely strong GVHE alignment</t>
  </si>
  <si>
    <t>Somalia</t>
  </si>
  <si>
    <t>Co-circulating STI model</t>
  </si>
  <si>
    <t>Oxford + LSHTM</t>
  </si>
  <si>
    <t>Interesting methods collaboration, but likely heavier support burden and less immediate software scale value.</t>
  </si>
  <si>
    <t>UK + SSA</t>
  </si>
  <si>
    <t>Network modeling / HIVsim methods exchange</t>
  </si>
  <si>
    <t>Oxford</t>
  </si>
  <si>
    <t>Francesco Di Lauro</t>
  </si>
  <si>
    <t>Strong technical alignment around networks and transmission dynamics; better for architecture/methods exchange than immediate piloting.</t>
  </si>
  <si>
    <t>Kaja Abbas + MoH Gabon</t>
  </si>
  <si>
    <t>Gabon</t>
  </si>
  <si>
    <t>LSHTM + Quantium</t>
  </si>
  <si>
    <t>Kaja Abbas + MoH Tanzania + Quantium</t>
  </si>
  <si>
    <t>Tanzania</t>
  </si>
  <si>
    <t>HIV, VMB</t>
  </si>
  <si>
    <t>HPV + VMB</t>
  </si>
  <si>
    <t>Université de Montpellier</t>
  </si>
  <si>
    <t>Samuel Alizon</t>
  </si>
  <si>
    <t>Pilot for demonstrating HPV interoperability</t>
  </si>
  <si>
    <t>TBC</t>
  </si>
  <si>
    <t>Category</t>
  </si>
  <si>
    <t>Modeling Question</t>
  </si>
  <si>
    <t>Link to HIV BOW or IPM</t>
  </si>
  <si>
    <t>Note</t>
  </si>
  <si>
    <t>When do we need information on this?</t>
  </si>
  <si>
    <t>Existing work or models?</t>
  </si>
  <si>
    <t>Primary prevention</t>
  </si>
  <si>
    <t>In which populations and settings does monthly oral prevention outperform 6–12-month long-acting prevention, and where does that ranking reverse?</t>
  </si>
  <si>
    <t>Accelerate HIV prevention​</t>
  </si>
  <si>
    <t>MK-8527</t>
  </si>
  <si>
    <t>Under what conditions does event-driven “PEP-in-pocket” displace continuous PrEP as the preferred prevention approach?</t>
  </si>
  <si>
    <t>What dosing-interval breakpoints (annual vs semi-annual) make long-acting prevention the systemwide default?</t>
  </si>
  <si>
    <t>Len, MK-8527</t>
  </si>
  <si>
    <t>At fixed budgets, what is the optimal combination-prevention bundle across urban vs rural contexts?</t>
  </si>
  <si>
    <t>Treatment programs</t>
  </si>
  <si>
    <t>Which patient segments should switch first to long-acting treatment to bend incidence fastest?</t>
  </si>
  <si>
    <t>Sustain and transform treatment​</t>
  </si>
  <si>
    <t>Which service delivery models enable sustainable scale-up of long-acting treatment?</t>
  </si>
  <si>
    <t>What incidence and mortality reduction is attributable to rapid (re)start pathways for people cycling in and out of care?</t>
  </si>
  <si>
    <t>Financing shocks &amp; sustainability</t>
  </si>
  <si>
    <t>Under multi-year donor funding cuts, which programs should be protected, paused, or scaled to minimize deaths and new infections?</t>
  </si>
  <si>
    <t>Program intelligence</t>
  </si>
  <si>
    <t>How far and how fast can prevention spend be reallocated without destabilizing treatment coverage?</t>
  </si>
  <si>
    <t>Market access, pricing, &amp; supply</t>
  </si>
  <si>
    <t>How does earlier generic entry change optimal uptake and country sequencing for key products?</t>
  </si>
  <si>
    <t>R&amp;D</t>
  </si>
  <si>
    <t>Which price–volume agreements unlock national long-acting scale while safeguarding treatment budgets?</t>
  </si>
  <si>
    <t>R&amp;D; Program intelligence</t>
  </si>
  <si>
    <t>Where do supply bottlenecks cap feasible coverage, and which de-bottlenecking investments yield the highest returns?</t>
  </si>
  <si>
    <t>Targeting, equity, &amp; epidemic dynamics</t>
  </si>
  <si>
    <t>Which targeting strategies minimize disparities for AGYW and key populations without sacrificing national epidemic goals?</t>
  </si>
  <si>
    <t>How should sub-national geographies be prioritized when mobility and network effects drive transmission?</t>
  </si>
  <si>
    <t>Resistance, safety, &amp; monitoring</t>
  </si>
  <si>
    <t>What level of resistance risk is acceptable under widespread long-acting use, and what surveillance cadence is warranted?</t>
  </si>
  <si>
    <t>AI</t>
  </si>
  <si>
    <t>How much does digital adherence support and refill automation change the value proposition of long-acting prevention and treatment?</t>
  </si>
  <si>
    <t>CD4</t>
  </si>
  <si>
    <t>What is the true gap in CD4 test coverage, and how should it inform strategy and prioritization?</t>
  </si>
  <si>
    <t>What is the impact and investment case for point-of-care CD4 products?</t>
  </si>
  <si>
    <t>Viral load</t>
  </si>
  <si>
    <t>What is the impact and investment case for point-of-care viral load products?</t>
  </si>
  <si>
    <t>Therapeutic vaccines</t>
  </si>
  <si>
    <t>What are the effects of shifting a portion of stable ART patients to LA-ART or therapeutic vaccines on community viral load and incidence?</t>
  </si>
  <si>
    <t>How do therapeutic vaccine efficacy and durability profiles compare with LA-ART across incidence and adherence scenarios?</t>
  </si>
  <si>
    <t>In an integrated prevention ecosystem, when does event-driven PEP, LA-PrEP, or vaccination become the optimal choice for specific populations?</t>
  </si>
  <si>
    <t>IPM</t>
  </si>
  <si>
    <t>Do treatment interruptions enabled by therapeutic vaccines reduce long-term care burdens?</t>
  </si>
  <si>
    <t>New products</t>
  </si>
  <si>
    <t>What is their risk – measured through PTRS (Probability of Technical and Regulatory Success) assessment?  </t>
  </si>
  <si>
    <t>What is their expected health impact (infections/cases, DALYs, and Deaths averted) given success, within the context of the rest of the portfolio and changing Standard of Care, (SOC)? </t>
  </si>
  <si>
    <t>What is their cost per DALY averted or Incremental Cost Effectiveness Ratio (ICER)? </t>
  </si>
  <si>
    <t>What is the PTRS adjusted risk associated with the candidate? </t>
  </si>
  <si>
    <t>Overall health impact</t>
  </si>
  <si>
    <t>What is the overall expected health impact of the R&amp;D portfolio?  </t>
  </si>
  <si>
    <t>Overal health impact</t>
  </si>
  <si>
    <t>How does the overall health impact of the portfolio change with the addition or subtraction of X product?  </t>
  </si>
  <si>
    <t>What are the optimal and minimum characteristics that would be acceptable for x product? </t>
  </si>
  <si>
    <t>IPM; R&amp;D</t>
  </si>
  <si>
    <t>Of available candidates, what is the best use of new HIV R&amp;D incremental funding to optimize the portfolio?  </t>
  </si>
  <si>
    <t>Delivery risk</t>
  </si>
  <si>
    <t>How do we score the risk associated with delivery (ie availability of financing, ability to hit price targets, likelihood of policy adoption, channel availability)?  How might this alter the health impact?   </t>
  </si>
  <si>
    <t>IPM; Program Intelligence</t>
  </si>
  <si>
    <t>Uncertainty</t>
  </si>
  <si>
    <t>What are the estimated uncertainty ranges for ‘required’ IPM questions?  </t>
  </si>
  <si>
    <t>What are the priority geographies, population segments, and delivery channels required to achieve impact for new products—specifically MK-8527?</t>
  </si>
  <si>
    <t>What key assumptions and uncertainties are most likely to influence overall health impact and potential market size? How can we generate evidence on these unknowns? How large is the market under pessimistic, moderate, and optimistic scenarios?  </t>
  </si>
  <si>
    <t>How does health impact and CE of products change with AI interventions? Which products will benefit the most and how can delivery of those products be optimized? Which AI interventions will horizontally impact the portfolio and what is their risk/uncertainty? </t>
  </si>
  <si>
    <t>Can global/all LMIC impact and CE of the HIV portfolio be better defined by country archetypes (characterized as high/low concentrated/generalized epidemics &amp; other factors related to health system strength/income/etc)? </t>
  </si>
  <si>
    <t>AHD</t>
  </si>
  <si>
    <t>Which AHD implementation fidelity gaps drive mortality most?</t>
  </si>
  <si>
    <t>Develop cost modelling to better understand how upstream investments (e.g. long acting ART)to avert AHD incidence impact downstream costs of AHD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</si>
</sst>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u/>
      <sz val="11"/>
      <color theme="10"/>
      <name val="Calibri"/>
      <family val="2"/>
      <scheme val="minor"/>
    </font>
    <font>
      <b/>
      <sz val="11"/>
      <color rgb="FF000000"/>
      <name val="Calibri"/>
      <family val="2"/>
    </font>
    <font>
      <sz val="11"/>
      <color rgb="FF000000"/>
      <name val="Calibri"/>
      <family val="2"/>
    </font>
    <font>
      <sz val="11"/>
      <name val="Aptos"/>
    </font>
    <font>
      <sz val="11"/>
      <color rgb="FF242424"/>
      <name val="Calibri"/>
      <family val="2"/>
    </font>
    <font>
      <sz val="11"/>
      <color rgb="FF000000"/>
      <name val="Calibri"/>
      <scheme val="minor"/>
    </font>
    <font>
      <sz val="10"/>
      <color rgb="FF000000"/>
      <name val="Calibri"/>
      <scheme val="minor"/>
    </font>
    <font>
      <b/>
      <sz val="11"/>
      <color rgb="FF000000"/>
      <name val="Calibri"/>
      <scheme val="minor"/>
    </font>
    <font>
      <u/>
      <sz val="11"/>
      <color rgb="FF000000"/>
      <name val="Calibri"/>
      <scheme val="minor"/>
    </font>
  </fonts>
  <fills count="2">
    <fill>
      <patternFill patternType="none"/>
    </fill>
    <fill>
      <patternFill patternType="gray125"/>
    </fill>
  </fills>
  <borders count="2">
    <border>
      <left/>
      <right/>
      <top/>
      <bottom/>
      <diagonal/>
    </border>
    <border>
      <left/>
      <right/>
      <top/>
      <bottom style="thin">
        <color rgb="FFD9D9D9"/>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0" borderId="0" xfId="0" applyFont="1"/>
    <xf numFmtId="0" fontId="3" fillId="0" borderId="0" xfId="0" applyFont="1"/>
    <xf numFmtId="0" fontId="4" fillId="0" borderId="0" xfId="0" applyFont="1" applyAlignment="1">
      <alignment wrapText="1"/>
    </xf>
    <xf numFmtId="0" fontId="5" fillId="0" borderId="0" xfId="0" applyFont="1"/>
    <xf numFmtId="0" fontId="8" fillId="0" borderId="0" xfId="0" applyFont="1" applyAlignment="1">
      <alignment wrapText="1" readingOrder="1"/>
    </xf>
    <xf numFmtId="0" fontId="8" fillId="0" borderId="0" xfId="0" applyFont="1"/>
    <xf numFmtId="0" fontId="6" fillId="0" borderId="0" xfId="0" applyFont="1"/>
    <xf numFmtId="0" fontId="9" fillId="0" borderId="0" xfId="1" applyFont="1"/>
    <xf numFmtId="0" fontId="9" fillId="0" borderId="0" xfId="1" applyFont="1" applyFill="1"/>
    <xf numFmtId="0" fontId="6" fillId="0" borderId="1" xfId="0" applyFont="1" applyBorder="1" applyAlignment="1">
      <alignment wrapText="1"/>
    </xf>
    <xf numFmtId="0" fontId="6" fillId="0" borderId="0" xfId="0" applyFont="1" applyAlignment="1">
      <alignment wrapText="1"/>
    </xf>
    <xf numFmtId="0" fontId="6" fillId="0" borderId="1" xfId="0" applyFont="1" applyBorder="1"/>
    <xf numFmtId="0" fontId="7" fillId="0" borderId="1" xfId="0" applyFont="1" applyBorder="1"/>
  </cellXfs>
  <cellStyles count="2">
    <cellStyle name="Hyperlink" xfId="1" builtinId="8"/>
    <cellStyle name="Normal" xfId="0" builtinId="0"/>
  </cellStyles>
  <dxfs count="3">
    <dxf>
      <font>
        <color rgb="FF9C5700"/>
      </font>
      <fill>
        <patternFill>
          <bgColor rgb="FFFFEB9C"/>
        </patternFill>
      </fill>
    </dxf>
    <dxf>
      <font>
        <color theme="9" tint="-0.249977111117893"/>
      </font>
      <fill>
        <patternFill patternType="solid">
          <bgColor theme="9" tint="0.59999389629810485"/>
        </patternFill>
      </fill>
    </dxf>
    <dxf>
      <font>
        <color rgb="FF002060"/>
      </font>
      <fill>
        <patternFill patternType="solid">
          <bgColor theme="8"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starsimhub/syph_dx_zim" TargetMode="External"/><Relationship Id="rId2" Type="http://schemas.openxmlformats.org/officeDocument/2006/relationships/hyperlink" Target="https://github.com/starsimhub/hiv_zambia" TargetMode="External"/><Relationship Id="rId1" Type="http://schemas.openxmlformats.org/officeDocument/2006/relationships/hyperlink" Target="https://github.com/starsimhub/hivsim_eswatini" TargetMode="External"/><Relationship Id="rId5" Type="http://schemas.openxmlformats.org/officeDocument/2006/relationships/hyperlink" Target="https://github.com/starsimhub/hiv_kenya" TargetMode="External"/><Relationship Id="rId4" Type="http://schemas.openxmlformats.org/officeDocument/2006/relationships/hyperlink" Target="https://github.com/starsimhub/hiv_zamb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tabSelected="1" workbookViewId="0">
      <selection activeCell="E7" sqref="E7"/>
    </sheetView>
  </sheetViews>
  <sheetFormatPr defaultRowHeight="15"/>
  <cols>
    <col min="1" max="1" width="9.140625" style="7"/>
    <col min="2" max="2" width="13.85546875" style="7" bestFit="1" customWidth="1"/>
    <col min="3" max="3" width="46" style="7" bestFit="1" customWidth="1"/>
    <col min="4" max="4" width="28" style="7" customWidth="1"/>
    <col min="5" max="5" width="27.7109375" style="7" bestFit="1" customWidth="1"/>
    <col min="6" max="6" width="57.140625" style="7" customWidth="1"/>
    <col min="7" max="7" width="24.85546875" style="7" customWidth="1"/>
    <col min="8" max="8" width="15.28515625" style="7" customWidth="1"/>
    <col min="9" max="9" width="34.42578125" style="7" bestFit="1" customWidth="1"/>
    <col min="10" max="10" width="15.7109375" style="7" bestFit="1" customWidth="1"/>
    <col min="11" max="11" width="19.7109375" style="7" bestFit="1" customWidth="1"/>
    <col min="12" max="12" width="57.7109375" style="7" bestFit="1" customWidth="1"/>
    <col min="13" max="16384" width="9.140625" style="7"/>
  </cols>
  <sheetData>
    <row r="1" spans="1:12">
      <c r="A1" s="6" t="s">
        <v>0</v>
      </c>
      <c r="B1" s="6" t="s">
        <v>1</v>
      </c>
      <c r="C1" s="5" t="s">
        <v>2</v>
      </c>
      <c r="D1" s="6" t="s">
        <v>3</v>
      </c>
      <c r="E1" s="6" t="s">
        <v>4</v>
      </c>
      <c r="F1" s="6" t="s">
        <v>5</v>
      </c>
      <c r="G1" s="6" t="s">
        <v>6</v>
      </c>
      <c r="H1" s="5" t="s">
        <v>7</v>
      </c>
      <c r="I1" s="6" t="s">
        <v>8</v>
      </c>
      <c r="J1" s="6" t="s">
        <v>9</v>
      </c>
      <c r="K1" s="6" t="s">
        <v>10</v>
      </c>
      <c r="L1" s="6" t="s">
        <v>11</v>
      </c>
    </row>
    <row r="2" spans="1:12" ht="30.75">
      <c r="A2" s="7">
        <v>1</v>
      </c>
      <c r="B2" s="7" t="s">
        <v>12</v>
      </c>
      <c r="C2" s="7" t="s">
        <v>13</v>
      </c>
      <c r="D2" s="7" t="s">
        <v>14</v>
      </c>
      <c r="E2" s="7" t="s">
        <v>15</v>
      </c>
      <c r="F2" s="11" t="s">
        <v>16</v>
      </c>
      <c r="G2" s="11" t="s">
        <v>17</v>
      </c>
      <c r="I2" s="7" t="s">
        <v>18</v>
      </c>
      <c r="J2" s="7" t="s">
        <v>19</v>
      </c>
      <c r="K2" s="7" t="s">
        <v>20</v>
      </c>
      <c r="L2" s="7" t="s">
        <v>21</v>
      </c>
    </row>
    <row r="3" spans="1:12">
      <c r="A3" s="7">
        <v>1</v>
      </c>
      <c r="B3" s="7" t="s">
        <v>22</v>
      </c>
      <c r="C3" s="7" t="s">
        <v>23</v>
      </c>
      <c r="D3" s="7" t="s">
        <v>14</v>
      </c>
      <c r="E3" s="7" t="s">
        <v>24</v>
      </c>
      <c r="F3" s="11" t="s">
        <v>25</v>
      </c>
      <c r="G3" s="11" t="s">
        <v>26</v>
      </c>
      <c r="H3" s="8" t="s">
        <v>27</v>
      </c>
      <c r="I3" s="7" t="s">
        <v>28</v>
      </c>
      <c r="J3" s="7" t="s">
        <v>29</v>
      </c>
      <c r="K3" s="7" t="s">
        <v>30</v>
      </c>
    </row>
    <row r="4" spans="1:12" ht="30.75">
      <c r="A4" s="7">
        <v>1</v>
      </c>
      <c r="B4" s="7" t="s">
        <v>31</v>
      </c>
      <c r="C4" s="7" t="s">
        <v>32</v>
      </c>
      <c r="D4" s="7" t="s">
        <v>33</v>
      </c>
      <c r="E4" s="7" t="s">
        <v>24</v>
      </c>
      <c r="F4" s="11" t="s">
        <v>34</v>
      </c>
      <c r="G4" s="11" t="s">
        <v>35</v>
      </c>
      <c r="I4" s="7" t="s">
        <v>36</v>
      </c>
      <c r="J4" s="7" t="s">
        <v>37</v>
      </c>
      <c r="K4" s="7" t="s">
        <v>38</v>
      </c>
      <c r="L4" s="7" t="s">
        <v>39</v>
      </c>
    </row>
    <row r="5" spans="1:12" ht="30.75">
      <c r="A5" s="7">
        <v>2</v>
      </c>
      <c r="B5" s="7" t="s">
        <v>40</v>
      </c>
      <c r="C5" s="7" t="s">
        <v>41</v>
      </c>
      <c r="D5" s="7" t="s">
        <v>14</v>
      </c>
      <c r="E5" s="7" t="s">
        <v>42</v>
      </c>
      <c r="F5" s="11" t="s">
        <v>43</v>
      </c>
      <c r="G5" s="11" t="s">
        <v>35</v>
      </c>
      <c r="I5" s="7" t="s">
        <v>44</v>
      </c>
    </row>
    <row r="6" spans="1:12" ht="60.75">
      <c r="A6" s="7">
        <v>2</v>
      </c>
      <c r="B6" s="7" t="s">
        <v>22</v>
      </c>
      <c r="C6" s="11" t="s">
        <v>45</v>
      </c>
      <c r="D6" s="7" t="s">
        <v>14</v>
      </c>
      <c r="E6" s="7" t="s">
        <v>46</v>
      </c>
      <c r="F6" s="11" t="s">
        <v>47</v>
      </c>
      <c r="G6" s="11" t="s">
        <v>17</v>
      </c>
      <c r="I6" s="7" t="s">
        <v>44</v>
      </c>
    </row>
    <row r="7" spans="1:12" ht="30.75">
      <c r="A7" s="7">
        <v>3</v>
      </c>
      <c r="B7" s="7" t="s">
        <v>48</v>
      </c>
      <c r="C7" s="7" t="s">
        <v>49</v>
      </c>
      <c r="D7" s="7" t="s">
        <v>50</v>
      </c>
      <c r="E7" s="7" t="s">
        <v>15</v>
      </c>
      <c r="F7" s="11" t="s">
        <v>51</v>
      </c>
      <c r="G7" s="11" t="s">
        <v>35</v>
      </c>
      <c r="H7" s="8" t="s">
        <v>52</v>
      </c>
      <c r="I7" s="7" t="s">
        <v>53</v>
      </c>
      <c r="J7" s="7" t="s">
        <v>29</v>
      </c>
      <c r="K7" s="7" t="s">
        <v>48</v>
      </c>
    </row>
    <row r="8" spans="1:12">
      <c r="A8" s="7">
        <v>3</v>
      </c>
      <c r="B8" s="7" t="s">
        <v>48</v>
      </c>
      <c r="C8" s="7" t="s">
        <v>49</v>
      </c>
      <c r="D8" s="7" t="s">
        <v>54</v>
      </c>
      <c r="E8" s="7" t="s">
        <v>55</v>
      </c>
      <c r="F8" s="11" t="s">
        <v>56</v>
      </c>
      <c r="G8" s="11" t="s">
        <v>35</v>
      </c>
      <c r="H8" s="8" t="s">
        <v>57</v>
      </c>
      <c r="I8" s="7" t="s">
        <v>58</v>
      </c>
      <c r="J8" s="7" t="s">
        <v>29</v>
      </c>
      <c r="K8" s="7" t="s">
        <v>48</v>
      </c>
    </row>
    <row r="9" spans="1:12" ht="30.75">
      <c r="A9" s="7">
        <v>3</v>
      </c>
      <c r="B9" s="7" t="s">
        <v>12</v>
      </c>
      <c r="C9" s="7" t="s">
        <v>59</v>
      </c>
      <c r="D9" s="7" t="s">
        <v>60</v>
      </c>
      <c r="E9" s="7" t="s">
        <v>61</v>
      </c>
      <c r="F9" s="11" t="s">
        <v>62</v>
      </c>
      <c r="G9" s="11" t="s">
        <v>35</v>
      </c>
      <c r="I9" s="7" t="s">
        <v>63</v>
      </c>
      <c r="K9" s="7" t="s">
        <v>64</v>
      </c>
    </row>
    <row r="10" spans="1:12" ht="45.75">
      <c r="A10" s="7">
        <v>3</v>
      </c>
      <c r="B10" s="7" t="s">
        <v>65</v>
      </c>
      <c r="C10" s="7" t="s">
        <v>66</v>
      </c>
      <c r="D10" s="7" t="s">
        <v>67</v>
      </c>
      <c r="E10" s="7" t="s">
        <v>68</v>
      </c>
      <c r="F10" s="11" t="s">
        <v>69</v>
      </c>
      <c r="G10" s="11" t="s">
        <v>26</v>
      </c>
      <c r="I10" s="7" t="s">
        <v>70</v>
      </c>
      <c r="K10" s="7" t="s">
        <v>64</v>
      </c>
    </row>
    <row r="11" spans="1:12" ht="30.75">
      <c r="A11" s="7">
        <v>3</v>
      </c>
      <c r="B11" s="7" t="s">
        <v>48</v>
      </c>
      <c r="C11" s="7" t="s">
        <v>71</v>
      </c>
      <c r="D11" s="7" t="s">
        <v>72</v>
      </c>
      <c r="E11" s="7" t="s">
        <v>73</v>
      </c>
      <c r="F11" s="11" t="s">
        <v>74</v>
      </c>
      <c r="G11" s="11" t="s">
        <v>17</v>
      </c>
      <c r="H11" s="8" t="s">
        <v>75</v>
      </c>
      <c r="I11" s="7" t="s">
        <v>76</v>
      </c>
      <c r="K11" s="7" t="s">
        <v>48</v>
      </c>
    </row>
    <row r="12" spans="1:12" ht="30.75">
      <c r="A12" s="7">
        <v>3</v>
      </c>
      <c r="B12" s="7" t="s">
        <v>48</v>
      </c>
      <c r="C12" s="7" t="s">
        <v>77</v>
      </c>
      <c r="D12" s="7" t="s">
        <v>78</v>
      </c>
      <c r="E12" s="7" t="s">
        <v>79</v>
      </c>
      <c r="F12" s="11" t="s">
        <v>80</v>
      </c>
      <c r="G12" s="11" t="s">
        <v>35</v>
      </c>
      <c r="I12" s="7" t="s">
        <v>81</v>
      </c>
      <c r="J12" s="7" t="s">
        <v>82</v>
      </c>
      <c r="K12" s="7" t="s">
        <v>48</v>
      </c>
      <c r="L12" s="7" t="s">
        <v>83</v>
      </c>
    </row>
    <row r="13" spans="1:12" ht="30.75">
      <c r="A13" s="7">
        <v>3</v>
      </c>
      <c r="B13" s="7" t="s">
        <v>40</v>
      </c>
      <c r="C13" s="12" t="s">
        <v>84</v>
      </c>
      <c r="D13" s="12" t="s">
        <v>85</v>
      </c>
      <c r="E13" s="12" t="s">
        <v>86</v>
      </c>
      <c r="F13" s="11" t="s">
        <v>87</v>
      </c>
      <c r="G13" s="11" t="s">
        <v>17</v>
      </c>
      <c r="I13" s="7" t="s">
        <v>28</v>
      </c>
      <c r="K13" s="7" t="s">
        <v>40</v>
      </c>
    </row>
    <row r="14" spans="1:12" ht="30.75">
      <c r="A14" s="7">
        <v>3</v>
      </c>
      <c r="B14" s="7" t="s">
        <v>48</v>
      </c>
      <c r="C14" s="12" t="s">
        <v>88</v>
      </c>
      <c r="D14" s="12" t="s">
        <v>54</v>
      </c>
      <c r="E14" s="12" t="s">
        <v>89</v>
      </c>
      <c r="F14" s="11" t="s">
        <v>90</v>
      </c>
      <c r="G14" s="11" t="s">
        <v>17</v>
      </c>
      <c r="H14" s="9" t="s">
        <v>57</v>
      </c>
      <c r="I14" s="7" t="s">
        <v>58</v>
      </c>
      <c r="J14" s="7" t="s">
        <v>91</v>
      </c>
      <c r="K14" s="7" t="s">
        <v>48</v>
      </c>
      <c r="L14" s="7" t="s">
        <v>92</v>
      </c>
    </row>
    <row r="15" spans="1:12" ht="30.75">
      <c r="A15" s="7">
        <v>3</v>
      </c>
      <c r="B15" s="7" t="s">
        <v>93</v>
      </c>
      <c r="C15" s="10" t="s">
        <v>94</v>
      </c>
      <c r="D15" s="10" t="s">
        <v>85</v>
      </c>
      <c r="E15" s="10" t="s">
        <v>95</v>
      </c>
      <c r="F15" s="11" t="s">
        <v>96</v>
      </c>
      <c r="G15" s="11" t="s">
        <v>17</v>
      </c>
      <c r="I15" s="7" t="s">
        <v>28</v>
      </c>
      <c r="K15" s="7" t="s">
        <v>97</v>
      </c>
    </row>
    <row r="16" spans="1:12" ht="30.75">
      <c r="A16" s="7">
        <v>3</v>
      </c>
      <c r="B16" s="7" t="s">
        <v>98</v>
      </c>
      <c r="C16" s="10" t="s">
        <v>99</v>
      </c>
      <c r="D16" s="10" t="s">
        <v>85</v>
      </c>
      <c r="E16" s="10" t="s">
        <v>100</v>
      </c>
      <c r="F16" s="11" t="s">
        <v>101</v>
      </c>
      <c r="G16" s="11" t="s">
        <v>35</v>
      </c>
      <c r="I16" s="7" t="s">
        <v>102</v>
      </c>
      <c r="K16" s="7" t="s">
        <v>98</v>
      </c>
    </row>
    <row r="17" spans="1:11" ht="45.75">
      <c r="A17" s="7">
        <v>3</v>
      </c>
      <c r="B17" s="7" t="s">
        <v>98</v>
      </c>
      <c r="C17" s="10" t="s">
        <v>103</v>
      </c>
      <c r="D17" s="10" t="s">
        <v>104</v>
      </c>
      <c r="E17" s="10" t="s">
        <v>105</v>
      </c>
      <c r="F17" s="11" t="s">
        <v>106</v>
      </c>
      <c r="G17" s="11" t="s">
        <v>17</v>
      </c>
      <c r="I17" s="7" t="s">
        <v>107</v>
      </c>
      <c r="K17" s="7" t="s">
        <v>98</v>
      </c>
    </row>
    <row r="18" spans="1:11" ht="30.75">
      <c r="A18" s="7">
        <v>3</v>
      </c>
      <c r="B18" s="7" t="s">
        <v>12</v>
      </c>
      <c r="C18" s="10" t="s">
        <v>108</v>
      </c>
      <c r="D18" s="11" t="s">
        <v>109</v>
      </c>
      <c r="E18" s="10" t="s">
        <v>86</v>
      </c>
      <c r="F18" s="11" t="s">
        <v>110</v>
      </c>
      <c r="G18" s="11" t="s">
        <v>17</v>
      </c>
      <c r="I18" s="7" t="s">
        <v>111</v>
      </c>
      <c r="K18" s="7" t="s">
        <v>38</v>
      </c>
    </row>
    <row r="19" spans="1:11" ht="45.75">
      <c r="A19" s="7">
        <v>3</v>
      </c>
      <c r="B19" s="7" t="s">
        <v>48</v>
      </c>
      <c r="C19" s="10" t="s">
        <v>112</v>
      </c>
      <c r="D19" s="10" t="s">
        <v>113</v>
      </c>
      <c r="E19" s="10" t="s">
        <v>114</v>
      </c>
      <c r="F19" s="11" t="s">
        <v>115</v>
      </c>
      <c r="G19" s="11" t="s">
        <v>17</v>
      </c>
      <c r="I19" s="7" t="s">
        <v>111</v>
      </c>
      <c r="K19" s="7" t="s">
        <v>48</v>
      </c>
    </row>
    <row r="20" spans="1:11" ht="30.75">
      <c r="A20" s="7">
        <v>3</v>
      </c>
      <c r="B20" s="7" t="s">
        <v>98</v>
      </c>
      <c r="C20" s="10" t="s">
        <v>99</v>
      </c>
      <c r="D20" s="10" t="s">
        <v>85</v>
      </c>
      <c r="E20" s="10" t="s">
        <v>116</v>
      </c>
      <c r="F20" s="11" t="s">
        <v>101</v>
      </c>
      <c r="G20" s="11" t="s">
        <v>26</v>
      </c>
      <c r="I20" s="7" t="s">
        <v>117</v>
      </c>
      <c r="K20" s="7" t="s">
        <v>98</v>
      </c>
    </row>
    <row r="21" spans="1:11" ht="30.75">
      <c r="A21" s="7">
        <v>3</v>
      </c>
      <c r="B21" s="7" t="s">
        <v>98</v>
      </c>
      <c r="C21" s="11" t="s">
        <v>99</v>
      </c>
      <c r="D21" s="11" t="s">
        <v>118</v>
      </c>
      <c r="E21" s="11" t="s">
        <v>119</v>
      </c>
      <c r="F21" s="11" t="s">
        <v>101</v>
      </c>
      <c r="G21" s="11" t="s">
        <v>26</v>
      </c>
      <c r="I21" s="7" t="s">
        <v>120</v>
      </c>
      <c r="K21" s="7" t="s">
        <v>98</v>
      </c>
    </row>
    <row r="22" spans="1:11">
      <c r="A22" s="7">
        <v>4</v>
      </c>
      <c r="B22" s="7" t="s">
        <v>121</v>
      </c>
      <c r="C22" s="10" t="s">
        <v>122</v>
      </c>
      <c r="D22" s="13" t="s">
        <v>123</v>
      </c>
      <c r="E22" s="11" t="s">
        <v>124</v>
      </c>
      <c r="F22" s="11" t="s">
        <v>125</v>
      </c>
      <c r="G22" s="11" t="s">
        <v>17</v>
      </c>
      <c r="I22" s="7" t="s">
        <v>126</v>
      </c>
      <c r="K22" s="7" t="s">
        <v>98</v>
      </c>
    </row>
    <row r="23" spans="1:11">
      <c r="C23" s="10"/>
      <c r="D23" s="10"/>
      <c r="E23" s="10"/>
      <c r="F23" s="11"/>
      <c r="G23" s="11"/>
    </row>
    <row r="24" spans="1:11">
      <c r="C24" s="10"/>
      <c r="D24" s="10"/>
      <c r="E24" s="10"/>
      <c r="F24" s="11"/>
      <c r="G24" s="11"/>
    </row>
    <row r="25" spans="1:11">
      <c r="C25" s="10"/>
      <c r="D25" s="10"/>
      <c r="E25" s="10"/>
      <c r="F25" s="11"/>
      <c r="G25" s="11"/>
    </row>
    <row r="26" spans="1:11">
      <c r="C26" s="10"/>
      <c r="D26" s="10"/>
      <c r="E26" s="10"/>
      <c r="F26" s="11"/>
      <c r="G26" s="11"/>
    </row>
    <row r="27" spans="1:11">
      <c r="C27" s="10"/>
      <c r="D27" s="10"/>
      <c r="E27" s="10"/>
      <c r="F27" s="11"/>
      <c r="G27" s="11"/>
    </row>
    <row r="28" spans="1:11">
      <c r="C28" s="10"/>
      <c r="D28" s="10"/>
      <c r="E28" s="10"/>
      <c r="F28" s="11"/>
      <c r="G28" s="11"/>
    </row>
    <row r="29" spans="1:11">
      <c r="C29" s="10"/>
      <c r="D29" s="10"/>
      <c r="E29" s="10"/>
      <c r="F29" s="11"/>
      <c r="G29" s="11"/>
    </row>
  </sheetData>
  <autoFilter ref="A1:L22" xr:uid="{00000000-0001-0000-0000-000000000000}">
    <sortState xmlns:xlrd2="http://schemas.microsoft.com/office/spreadsheetml/2017/richdata2" ref="A2:L22">
      <sortCondition ref="A1"/>
    </sortState>
  </autoFilter>
  <conditionalFormatting sqref="G1:G2 G4:G1048576">
    <cfRule type="colorScale" priority="4">
      <colorScale>
        <cfvo type="min"/>
        <cfvo type="max"/>
        <color rgb="FFFFEF9C"/>
        <color rgb="FF63BE7B"/>
      </colorScale>
    </cfRule>
  </conditionalFormatting>
  <conditionalFormatting sqref="G1:G1048576">
    <cfRule type="containsText" dxfId="2" priority="3" operator="containsText" text="Proposal">
      <formula>NOT(ISERROR(SEARCH("Proposal",G1)))</formula>
    </cfRule>
  </conditionalFormatting>
  <conditionalFormatting sqref="G1:G1048576">
    <cfRule type="containsText" dxfId="1" priority="2" operator="containsText" text="In flight, mostly complete">
      <formula>NOT(ISERROR(SEARCH("In flight, mostly complete",G1)))</formula>
    </cfRule>
  </conditionalFormatting>
  <conditionalFormatting sqref="G1:G1048576">
    <cfRule type="containsText" dxfId="0" priority="1" operator="containsText" text="In flight, early stages">
      <formula>NOT(ISERROR(SEARCH("In flight, early stages",G1)))</formula>
    </cfRule>
  </conditionalFormatting>
  <hyperlinks>
    <hyperlink ref="H7" r:id="rId1" xr:uid="{6EAD9A62-E032-44B7-95E1-81CBCA459D39}"/>
    <hyperlink ref="H8" r:id="rId2" xr:uid="{99B47C1F-3829-4450-BD2B-267B5B264024}"/>
    <hyperlink ref="H3" r:id="rId3" xr:uid="{BEF0FE51-C084-4629-BA48-9188FFA92D16}"/>
    <hyperlink ref="H14" r:id="rId4" xr:uid="{D26E5E19-A284-472F-A0F2-8A0DF165BEFD}"/>
    <hyperlink ref="H11" r:id="rId5" xr:uid="{D8A33CE0-F67F-4E0D-9026-0B3B8534672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5A4FE-2941-41C0-8692-3F7957F8F838}">
  <dimension ref="A1:F40"/>
  <sheetViews>
    <sheetView workbookViewId="0">
      <selection activeCell="B5" sqref="B5"/>
    </sheetView>
  </sheetViews>
  <sheetFormatPr defaultRowHeight="15"/>
  <cols>
    <col min="1" max="1" width="36.42578125" bestFit="1" customWidth="1"/>
    <col min="2" max="2" width="149.7109375" bestFit="1" customWidth="1"/>
    <col min="3" max="3" width="30.28515625" bestFit="1" customWidth="1"/>
    <col min="4" max="4" width="13.28515625" bestFit="1" customWidth="1"/>
    <col min="5" max="5" width="36.85546875" bestFit="1" customWidth="1"/>
  </cols>
  <sheetData>
    <row r="1" spans="1:6">
      <c r="A1" s="1" t="s">
        <v>127</v>
      </c>
      <c r="B1" s="1" t="s">
        <v>128</v>
      </c>
      <c r="C1" s="1" t="s">
        <v>129</v>
      </c>
      <c r="D1" s="1" t="s">
        <v>130</v>
      </c>
      <c r="E1" s="1" t="s">
        <v>131</v>
      </c>
      <c r="F1" s="1" t="s">
        <v>132</v>
      </c>
    </row>
    <row r="2" spans="1:6">
      <c r="A2" s="2" t="s">
        <v>133</v>
      </c>
      <c r="B2" s="2" t="s">
        <v>134</v>
      </c>
      <c r="C2" s="2" t="s">
        <v>135</v>
      </c>
      <c r="D2" s="2" t="s">
        <v>136</v>
      </c>
      <c r="E2" s="2"/>
      <c r="F2" s="2"/>
    </row>
    <row r="3" spans="1:6">
      <c r="A3" s="2" t="s">
        <v>133</v>
      </c>
      <c r="B3" s="2" t="s">
        <v>137</v>
      </c>
      <c r="C3" s="2" t="s">
        <v>135</v>
      </c>
      <c r="D3" s="2" t="s">
        <v>136</v>
      </c>
      <c r="E3" s="2"/>
      <c r="F3" s="2"/>
    </row>
    <row r="4" spans="1:6">
      <c r="A4" s="2" t="s">
        <v>133</v>
      </c>
      <c r="B4" s="2" t="s">
        <v>138</v>
      </c>
      <c r="C4" s="2" t="s">
        <v>135</v>
      </c>
      <c r="D4" s="2" t="s">
        <v>139</v>
      </c>
      <c r="E4" s="2"/>
      <c r="F4" s="2"/>
    </row>
    <row r="5" spans="1:6">
      <c r="A5" s="2" t="s">
        <v>133</v>
      </c>
      <c r="B5" s="2" t="s">
        <v>140</v>
      </c>
      <c r="C5" s="2" t="s">
        <v>135</v>
      </c>
      <c r="D5" s="2"/>
      <c r="E5" s="2"/>
      <c r="F5" s="2"/>
    </row>
    <row r="6" spans="1:6">
      <c r="A6" s="2" t="s">
        <v>141</v>
      </c>
      <c r="B6" s="2" t="s">
        <v>142</v>
      </c>
      <c r="C6" s="2" t="s">
        <v>143</v>
      </c>
      <c r="D6" s="2"/>
      <c r="E6" s="2"/>
      <c r="F6" s="2"/>
    </row>
    <row r="7" spans="1:6">
      <c r="A7" s="2" t="s">
        <v>141</v>
      </c>
      <c r="B7" s="2" t="s">
        <v>144</v>
      </c>
      <c r="C7" s="2" t="s">
        <v>143</v>
      </c>
      <c r="D7" s="2"/>
      <c r="E7" s="2"/>
      <c r="F7" s="2"/>
    </row>
    <row r="8" spans="1:6">
      <c r="A8" s="2" t="s">
        <v>141</v>
      </c>
      <c r="B8" s="2" t="s">
        <v>145</v>
      </c>
      <c r="C8" s="2" t="s">
        <v>143</v>
      </c>
      <c r="D8" s="2"/>
      <c r="E8" s="2"/>
      <c r="F8" s="2"/>
    </row>
    <row r="9" spans="1:6">
      <c r="A9" s="2" t="s">
        <v>146</v>
      </c>
      <c r="B9" s="2" t="s">
        <v>147</v>
      </c>
      <c r="C9" s="2" t="s">
        <v>148</v>
      </c>
      <c r="D9" s="2"/>
      <c r="E9" s="2"/>
      <c r="F9" s="2"/>
    </row>
    <row r="10" spans="1:6">
      <c r="A10" s="2" t="s">
        <v>146</v>
      </c>
      <c r="B10" s="2" t="s">
        <v>149</v>
      </c>
      <c r="C10" s="2" t="s">
        <v>135</v>
      </c>
      <c r="D10" s="2"/>
      <c r="E10" s="2"/>
      <c r="F10" s="2"/>
    </row>
    <row r="11" spans="1:6">
      <c r="A11" s="2" t="s">
        <v>150</v>
      </c>
      <c r="B11" s="2" t="s">
        <v>151</v>
      </c>
      <c r="C11" s="2" t="s">
        <v>152</v>
      </c>
      <c r="D11" s="2"/>
      <c r="E11" s="2"/>
      <c r="F11" s="2"/>
    </row>
    <row r="12" spans="1:6">
      <c r="A12" s="2" t="s">
        <v>150</v>
      </c>
      <c r="B12" s="2" t="s">
        <v>153</v>
      </c>
      <c r="C12" s="2" t="s">
        <v>154</v>
      </c>
      <c r="D12" s="2"/>
      <c r="E12" s="2"/>
      <c r="F12" s="2"/>
    </row>
    <row r="13" spans="1:6">
      <c r="A13" s="2" t="s">
        <v>150</v>
      </c>
      <c r="B13" s="2" t="s">
        <v>155</v>
      </c>
      <c r="C13" s="2" t="s">
        <v>152</v>
      </c>
      <c r="D13" s="2"/>
      <c r="E13" s="2"/>
      <c r="F13" s="2"/>
    </row>
    <row r="14" spans="1:6">
      <c r="A14" s="2" t="s">
        <v>156</v>
      </c>
      <c r="B14" s="2" t="s">
        <v>157</v>
      </c>
      <c r="C14" s="2" t="s">
        <v>148</v>
      </c>
      <c r="D14" s="2"/>
      <c r="E14" s="2"/>
      <c r="F14" s="2"/>
    </row>
    <row r="15" spans="1:6">
      <c r="A15" s="2" t="s">
        <v>156</v>
      </c>
      <c r="B15" s="2" t="s">
        <v>158</v>
      </c>
      <c r="C15" s="2" t="s">
        <v>148</v>
      </c>
      <c r="D15" s="2"/>
      <c r="E15" s="2"/>
      <c r="F15" s="2"/>
    </row>
    <row r="16" spans="1:6">
      <c r="A16" s="2" t="s">
        <v>159</v>
      </c>
      <c r="B16" s="2" t="s">
        <v>160</v>
      </c>
      <c r="C16" s="2" t="s">
        <v>154</v>
      </c>
      <c r="D16" s="2"/>
      <c r="E16" s="2"/>
      <c r="F16" s="2"/>
    </row>
    <row r="17" spans="1:6">
      <c r="A17" s="2" t="s">
        <v>161</v>
      </c>
      <c r="B17" s="2" t="s">
        <v>162</v>
      </c>
      <c r="C17" s="2" t="s">
        <v>161</v>
      </c>
      <c r="D17" s="2"/>
      <c r="E17" s="2"/>
      <c r="F17" s="2"/>
    </row>
    <row r="18" spans="1:6">
      <c r="A18" s="2" t="s">
        <v>163</v>
      </c>
      <c r="B18" s="2" t="s">
        <v>164</v>
      </c>
      <c r="C18" s="2" t="s">
        <v>154</v>
      </c>
      <c r="D18" s="2"/>
      <c r="E18" s="2"/>
      <c r="F18" s="2"/>
    </row>
    <row r="19" spans="1:6">
      <c r="A19" s="2" t="s">
        <v>163</v>
      </c>
      <c r="B19" s="2" t="s">
        <v>165</v>
      </c>
      <c r="C19" s="2" t="s">
        <v>154</v>
      </c>
      <c r="D19" s="2"/>
      <c r="E19" s="2"/>
      <c r="F19" s="2"/>
    </row>
    <row r="20" spans="1:6">
      <c r="A20" s="2" t="s">
        <v>166</v>
      </c>
      <c r="B20" s="2" t="s">
        <v>167</v>
      </c>
      <c r="C20" s="2" t="s">
        <v>154</v>
      </c>
      <c r="D20" s="2"/>
      <c r="E20" s="2"/>
      <c r="F20" s="2"/>
    </row>
    <row r="21" spans="1:6">
      <c r="A21" s="2" t="s">
        <v>168</v>
      </c>
      <c r="B21" s="2" t="s">
        <v>169</v>
      </c>
      <c r="C21" s="2" t="s">
        <v>154</v>
      </c>
      <c r="D21" s="2"/>
      <c r="E21" s="2"/>
      <c r="F21" s="2"/>
    </row>
    <row r="22" spans="1:6">
      <c r="A22" s="2" t="s">
        <v>168</v>
      </c>
      <c r="B22" s="2" t="s">
        <v>170</v>
      </c>
      <c r="C22" s="2" t="s">
        <v>154</v>
      </c>
      <c r="D22" s="2"/>
      <c r="E22" s="2"/>
      <c r="F22" s="2"/>
    </row>
    <row r="23" spans="1:6">
      <c r="A23" s="2" t="s">
        <v>168</v>
      </c>
      <c r="B23" s="2" t="s">
        <v>171</v>
      </c>
      <c r="C23" s="2" t="s">
        <v>172</v>
      </c>
      <c r="D23" s="2"/>
      <c r="E23" s="2"/>
      <c r="F23" s="2"/>
    </row>
    <row r="24" spans="1:6">
      <c r="A24" s="2" t="s">
        <v>168</v>
      </c>
      <c r="B24" s="2" t="s">
        <v>173</v>
      </c>
      <c r="C24" s="2" t="s">
        <v>154</v>
      </c>
      <c r="D24" s="2"/>
      <c r="E24" s="2"/>
      <c r="F24" s="2"/>
    </row>
    <row r="25" spans="1:6" ht="245.25">
      <c r="A25" s="2" t="s">
        <v>174</v>
      </c>
      <c r="B25" s="3" t="s">
        <v>175</v>
      </c>
      <c r="C25" s="2" t="s">
        <v>172</v>
      </c>
      <c r="D25" s="2"/>
      <c r="E25" s="2"/>
      <c r="F25" s="2"/>
    </row>
    <row r="26" spans="1:6" ht="390">
      <c r="A26" s="2" t="s">
        <v>174</v>
      </c>
      <c r="B26" s="3" t="s">
        <v>176</v>
      </c>
      <c r="C26" s="2" t="s">
        <v>172</v>
      </c>
      <c r="D26" s="2"/>
      <c r="E26" s="2"/>
      <c r="F26" s="2"/>
    </row>
    <row r="27" spans="1:6" ht="174">
      <c r="A27" s="2" t="s">
        <v>174</v>
      </c>
      <c r="B27" s="3" t="s">
        <v>177</v>
      </c>
      <c r="C27" s="2" t="s">
        <v>172</v>
      </c>
      <c r="D27" s="2"/>
      <c r="E27" s="2"/>
      <c r="F27" s="2"/>
    </row>
    <row r="28" spans="1:6" ht="130.5">
      <c r="A28" s="2" t="s">
        <v>174</v>
      </c>
      <c r="B28" s="3" t="s">
        <v>178</v>
      </c>
      <c r="C28" s="2" t="s">
        <v>172</v>
      </c>
      <c r="D28" s="2"/>
      <c r="E28" s="2"/>
      <c r="F28" s="2"/>
    </row>
    <row r="29" spans="1:6" ht="144.75">
      <c r="A29" s="2" t="s">
        <v>179</v>
      </c>
      <c r="B29" s="3" t="s">
        <v>180</v>
      </c>
      <c r="C29" s="2" t="s">
        <v>172</v>
      </c>
      <c r="D29" s="2"/>
      <c r="E29" s="2"/>
      <c r="F29" s="2"/>
    </row>
    <row r="30" spans="1:6" ht="201.75">
      <c r="A30" s="2" t="s">
        <v>181</v>
      </c>
      <c r="B30" s="3" t="s">
        <v>182</v>
      </c>
      <c r="C30" s="2" t="s">
        <v>172</v>
      </c>
      <c r="D30" s="2"/>
      <c r="E30" s="2"/>
      <c r="F30" s="2"/>
    </row>
    <row r="31" spans="1:6" ht="159">
      <c r="A31" s="2" t="s">
        <v>174</v>
      </c>
      <c r="B31" s="3" t="s">
        <v>183</v>
      </c>
      <c r="C31" s="2" t="s">
        <v>184</v>
      </c>
      <c r="D31" s="2"/>
      <c r="E31" s="2"/>
      <c r="F31" s="2"/>
    </row>
    <row r="32" spans="1:6" ht="216.75">
      <c r="A32" s="2" t="s">
        <v>174</v>
      </c>
      <c r="B32" s="3" t="s">
        <v>185</v>
      </c>
      <c r="C32" s="2" t="s">
        <v>184</v>
      </c>
      <c r="D32" s="2"/>
      <c r="E32" s="2"/>
      <c r="F32" s="2"/>
    </row>
    <row r="33" spans="1:6" ht="375.75">
      <c r="A33" s="2" t="s">
        <v>186</v>
      </c>
      <c r="B33" s="3" t="s">
        <v>187</v>
      </c>
      <c r="C33" s="2" t="s">
        <v>188</v>
      </c>
      <c r="D33" s="2"/>
      <c r="E33" s="2"/>
      <c r="F33" s="2"/>
    </row>
    <row r="34" spans="1:6" ht="174">
      <c r="A34" s="2" t="s">
        <v>189</v>
      </c>
      <c r="B34" s="3" t="s">
        <v>190</v>
      </c>
      <c r="C34" s="2" t="s">
        <v>188</v>
      </c>
      <c r="D34" s="2"/>
      <c r="E34" s="2"/>
      <c r="F34" s="2"/>
    </row>
    <row r="35" spans="1:6">
      <c r="A35" s="2" t="s">
        <v>174</v>
      </c>
      <c r="B35" s="4" t="s">
        <v>191</v>
      </c>
      <c r="C35" s="2" t="s">
        <v>188</v>
      </c>
      <c r="D35" s="2" t="s">
        <v>136</v>
      </c>
      <c r="E35" s="2"/>
      <c r="F35" s="2"/>
    </row>
    <row r="36" spans="1:6" ht="409.6">
      <c r="A36" s="2" t="s">
        <v>181</v>
      </c>
      <c r="B36" s="3" t="s">
        <v>192</v>
      </c>
      <c r="C36" s="2" t="s">
        <v>172</v>
      </c>
      <c r="D36" s="2"/>
      <c r="E36" s="2"/>
      <c r="F36" s="2"/>
    </row>
    <row r="37" spans="1:6" ht="409.6">
      <c r="A37" s="2" t="s">
        <v>161</v>
      </c>
      <c r="B37" s="3" t="s">
        <v>193</v>
      </c>
      <c r="C37" s="2" t="s">
        <v>172</v>
      </c>
      <c r="D37" s="2"/>
      <c r="E37" s="2"/>
      <c r="F37" s="2"/>
    </row>
    <row r="38" spans="1:6" ht="409.6">
      <c r="A38" s="2" t="s">
        <v>179</v>
      </c>
      <c r="B38" s="3" t="s">
        <v>194</v>
      </c>
      <c r="C38" s="2" t="s">
        <v>172</v>
      </c>
      <c r="D38" s="2"/>
      <c r="E38" s="2"/>
      <c r="F38" s="2"/>
    </row>
    <row r="39" spans="1:6">
      <c r="A39" s="2" t="s">
        <v>195</v>
      </c>
      <c r="B39" s="2" t="s">
        <v>196</v>
      </c>
      <c r="C39" s="2" t="s">
        <v>143</v>
      </c>
      <c r="D39" s="2"/>
      <c r="E39" s="2"/>
      <c r="F39" s="2"/>
    </row>
    <row r="40" spans="1:6">
      <c r="A40" s="2" t="s">
        <v>195</v>
      </c>
      <c r="B40" s="2" t="s">
        <v>197</v>
      </c>
      <c r="C40" s="2" t="s">
        <v>143</v>
      </c>
      <c r="D40" s="2"/>
      <c r="E40" s="2"/>
      <c r="F40"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2e959f2-c4b1-4c82-8ad2-fbdae0af7fef" xsi:nil="true"/>
    <lcf76f155ced4ddcb4097134ff3c332f xmlns="6fc72df6-92c6-4392-8d4a-a21c397c0ed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87D7D1492209D4D93AB895A16A7E23B" ma:contentTypeVersion="17" ma:contentTypeDescription="Create a new document." ma:contentTypeScope="" ma:versionID="a8160fb7bd94d8c4b6341e44c7624af0">
  <xsd:schema xmlns:xsd="http://www.w3.org/2001/XMLSchema" xmlns:xs="http://www.w3.org/2001/XMLSchema" xmlns:p="http://schemas.microsoft.com/office/2006/metadata/properties" xmlns:ns2="6fc72df6-92c6-4392-8d4a-a21c397c0ed1" xmlns:ns3="e2b5054b-2133-4a8b-90b3-cff95fa2a6ba" xmlns:ns4="02e959f2-c4b1-4c82-8ad2-fbdae0af7fef" targetNamespace="http://schemas.microsoft.com/office/2006/metadata/properties" ma:root="true" ma:fieldsID="1269b807d10917c31d2fd7be9a5025b3" ns2:_="" ns3:_="" ns4:_="">
    <xsd:import namespace="6fc72df6-92c6-4392-8d4a-a21c397c0ed1"/>
    <xsd:import namespace="e2b5054b-2133-4a8b-90b3-cff95fa2a6ba"/>
    <xsd:import namespace="02e959f2-c4b1-4c82-8ad2-fbdae0af7fe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72df6-92c6-4392-8d4a-a21c397c0e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97590d4-f9cd-4952-aa38-5a1111e36f0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b5054b-2133-4a8b-90b3-cff95fa2a6b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2e959f2-c4b1-4c82-8ad2-fbdae0af7fe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aa9354-1f67-4301-97b7-6e4eb74be3ce}" ma:internalName="TaxCatchAll" ma:showField="CatchAllData" ma:web="e2b5054b-2133-4a8b-90b3-cff95fa2a6b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5C4DC4-42C8-4D71-A38A-FB8980E21F18}"/>
</file>

<file path=customXml/itemProps2.xml><?xml version="1.0" encoding="utf-8"?>
<ds:datastoreItem xmlns:ds="http://schemas.openxmlformats.org/officeDocument/2006/customXml" ds:itemID="{0DADDB2D-1267-48C4-8C79-FCE497727318}"/>
</file>

<file path=customXml/itemProps3.xml><?xml version="1.0" encoding="utf-8"?>
<ds:datastoreItem xmlns:ds="http://schemas.openxmlformats.org/officeDocument/2006/customXml" ds:itemID="{4F8F4330-20DF-4DD5-94D4-50659DE4D1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2026-03-04T22:38:25Z</dcterms:created>
  <dcterms:modified xsi:type="dcterms:W3CDTF">2026-04-06T22:23:20Z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0x010100187D7D1492209D4D93AB895A16A7E23B</vt:lpwstr>
  </property>
  <property fmtid="{D5CDD505-2E9C-101B-9397-08002B2CF9AE}" pid="3" name="MediaServiceImageTags">
    <vt:lpwstr/>
  </property>
</Properties>
</file>